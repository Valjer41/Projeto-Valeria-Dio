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valeria_jsilva_telefonica_com/Documents/Documents/Projeto Valéria _DIO/"/>
    </mc:Choice>
  </mc:AlternateContent>
  <xr:revisionPtr revIDLastSave="1" documentId="8_{9075D245-A9ED-4ACD-9E10-0FE63D2CDD86}" xr6:coauthVersionLast="47" xr6:coauthVersionMax="47" xr10:uidLastSave="{E389B49C-CA8A-4E3B-B4FD-5DFA015A65C6}"/>
  <bookViews>
    <workbookView xWindow="-110" yWindow="-110" windowWidth="19420" windowHeight="10300" tabRatio="518" xr2:uid="{6EA38637-AD03-4C07-97BF-EA33E9473189}"/>
  </bookViews>
  <sheets>
    <sheet name="Projeto Valéria" sheetId="1" r:id="rId1"/>
    <sheet name="Planilha2" sheetId="2" r:id="rId2"/>
  </sheets>
  <definedNames>
    <definedName name="aporte">'Projeto Valéria'!$D$17</definedName>
    <definedName name="patrimonio">'Projeto Valéria'!$D$20</definedName>
    <definedName name="qtd_anos">'Projeto Valéria'!$D$18</definedName>
    <definedName name="rendimento_carteira">'Projeto Valéria'!$D$13</definedName>
    <definedName name="salario">'Projeto Valéria'!$D$12</definedName>
    <definedName name="sugestao_investimento">'Projeto Valéria'!$D$14</definedName>
    <definedName name="taxa_mensal">'Projeto Valéria'!$D$19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J4" i="2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C32" i="1"/>
  <c r="D20" i="1"/>
  <c r="D21" i="1" s="1"/>
  <c r="D14" i="1"/>
  <c r="C28" i="1"/>
  <c r="D28" i="1" s="1"/>
  <c r="C27" i="1"/>
  <c r="D27" i="1" s="1"/>
  <c r="C26" i="1"/>
  <c r="D26" i="1" s="1"/>
  <c r="C25" i="1"/>
  <c r="D25" i="1" s="1"/>
  <c r="C24" i="1"/>
  <c r="D24" i="1" s="1"/>
  <c r="D40" i="1" l="1"/>
</calcChain>
</file>

<file path=xl/sharedStrings.xml><?xml version="1.0" encoding="utf-8"?>
<sst xmlns="http://schemas.openxmlformats.org/spreadsheetml/2006/main" count="71" uniqueCount="35">
  <si>
    <t>Quanto investir por mes?</t>
  </si>
  <si>
    <t>Por quanto anos?</t>
  </si>
  <si>
    <t>Taxa de rendimento mensal?</t>
  </si>
  <si>
    <t>Patrimônio acumulado?</t>
  </si>
  <si>
    <t>Dividendos mensais?</t>
  </si>
  <si>
    <t>INVESTIMENTOS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</si>
  <si>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</si>
  <si>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</si>
  <si>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</si>
  <si>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</si>
  <si>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</si>
  <si>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</si>
  <si>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</si>
  <si>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Rendimentos Carteira</t>
  </si>
  <si>
    <t>Salario</t>
  </si>
  <si>
    <t>CONFIGURAÇÕES</t>
  </si>
  <si>
    <t>Valor a ser investido por mês</t>
  </si>
  <si>
    <t>PERFIL</t>
  </si>
  <si>
    <t>Tipo de FII</t>
  </si>
  <si>
    <t>Percentual Sugerido</t>
  </si>
  <si>
    <t>Valores</t>
  </si>
  <si>
    <t>PAPEL</t>
  </si>
  <si>
    <t>TIJOLOS</t>
  </si>
  <si>
    <t>HIBRIDOS</t>
  </si>
  <si>
    <t>FOFs</t>
  </si>
  <si>
    <t>DESENVOLVIMENTO</t>
  </si>
  <si>
    <t>HOTELARIAS</t>
  </si>
  <si>
    <t>Conservador</t>
  </si>
  <si>
    <t>TIPO DE FII</t>
  </si>
  <si>
    <t>%</t>
  </si>
  <si>
    <t>Chave</t>
  </si>
  <si>
    <t>Moderado</t>
  </si>
  <si>
    <t>Agressivo</t>
  </si>
  <si>
    <t>Moderado-TIJOLOS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</si>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</sst>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0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70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170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6" xfId="0" applyNumberFormat="1" applyFont="1" applyBorder="1" applyAlignment="1">
      <alignment horizontal="center" vertical="center"/>
    </xf>
    <xf numFmtId="8" fontId="4" fillId="4" borderId="6" xfId="0" applyNumberFormat="1" applyFont="1" applyFill="1" applyBorder="1" applyAlignment="1">
      <alignment horizontal="center"/>
    </xf>
    <xf numFmtId="8" fontId="4" fillId="4" borderId="9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170" fontId="0" fillId="4" borderId="5" xfId="0" applyNumberFormat="1" applyFill="1" applyBorder="1" applyAlignment="1">
      <alignment horizontal="center"/>
    </xf>
    <xf numFmtId="170" fontId="0" fillId="4" borderId="6" xfId="0" applyNumberFormat="1" applyFill="1" applyBorder="1" applyAlignment="1">
      <alignment horizontal="center"/>
    </xf>
    <xf numFmtId="170" fontId="0" fillId="4" borderId="8" xfId="0" applyNumberFormat="1" applyFill="1" applyBorder="1" applyAlignment="1">
      <alignment horizontal="center"/>
    </xf>
    <xf numFmtId="170" fontId="0" fillId="4" borderId="9" xfId="0" applyNumberFormat="1" applyFill="1" applyBorder="1" applyAlignment="1">
      <alignment horizontal="center"/>
    </xf>
    <xf numFmtId="0" fontId="7" fillId="6" borderId="4" xfId="0" applyFont="1" applyFill="1" applyBorder="1" applyAlignment="1">
      <alignment horizontal="left" indent="3"/>
    </xf>
    <xf numFmtId="0" fontId="7" fillId="6" borderId="5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8" xfId="0" applyFont="1" applyFill="1" applyBorder="1" applyAlignment="1">
      <alignment horizontal="left" indent="3"/>
    </xf>
    <xf numFmtId="0" fontId="7" fillId="0" borderId="4" xfId="0" applyFont="1" applyBorder="1" applyAlignment="1">
      <alignment horizontal="left" indent="3"/>
    </xf>
    <xf numFmtId="0" fontId="7" fillId="0" borderId="5" xfId="0" applyFont="1" applyBorder="1" applyAlignment="1">
      <alignment horizontal="left" indent="3"/>
    </xf>
    <xf numFmtId="0" fontId="10" fillId="4" borderId="4" xfId="0" applyFont="1" applyFill="1" applyBorder="1" applyAlignment="1">
      <alignment horizontal="left" indent="3"/>
    </xf>
    <xf numFmtId="0" fontId="10" fillId="4" borderId="5" xfId="0" applyFont="1" applyFill="1" applyBorder="1" applyAlignment="1">
      <alignment horizontal="left" indent="3"/>
    </xf>
    <xf numFmtId="0" fontId="10" fillId="4" borderId="7" xfId="0" applyFont="1" applyFill="1" applyBorder="1" applyAlignment="1">
      <alignment horizontal="left" indent="3"/>
    </xf>
    <xf numFmtId="0" fontId="10" fillId="4" borderId="8" xfId="0" applyFont="1" applyFill="1" applyBorder="1" applyAlignment="1">
      <alignment horizontal="left" indent="3"/>
    </xf>
    <xf numFmtId="0" fontId="7" fillId="4" borderId="4" xfId="0" applyFont="1" applyFill="1" applyBorder="1" applyAlignment="1">
      <alignment horizontal="left" indent="3"/>
    </xf>
    <xf numFmtId="0" fontId="7" fillId="4" borderId="7" xfId="0" applyFont="1" applyFill="1" applyBorder="1" applyAlignment="1">
      <alignment horizontal="left" indent="3"/>
    </xf>
    <xf numFmtId="0" fontId="2" fillId="2" borderId="0" xfId="2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0" borderId="10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0" xfId="1" applyFont="1"/>
    <xf numFmtId="0" fontId="2" fillId="2" borderId="1" xfId="2" applyBorder="1" applyAlignment="1">
      <alignment horizontal="left" indent="3"/>
    </xf>
    <xf numFmtId="0" fontId="2" fillId="2" borderId="2" xfId="2" applyBorder="1" applyAlignment="1">
      <alignment horizontal="center" vertical="center"/>
    </xf>
    <xf numFmtId="0" fontId="2" fillId="2" borderId="3" xfId="2" applyBorder="1"/>
    <xf numFmtId="0" fontId="4" fillId="6" borderId="4" xfId="0" applyFont="1" applyFill="1" applyBorder="1"/>
    <xf numFmtId="170" fontId="4" fillId="6" borderId="5" xfId="0" applyNumberFormat="1" applyFont="1" applyFill="1" applyBorder="1" applyAlignment="1">
      <alignment horizontal="center"/>
    </xf>
    <xf numFmtId="0" fontId="0" fillId="6" borderId="6" xfId="0" applyFill="1" applyBorder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0" fillId="6" borderId="6" xfId="0" applyNumberFormat="1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170" fontId="0" fillId="7" borderId="9" xfId="0" applyNumberForma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'Projeto Valéria'!$C$33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'Projeto Valéria'!$B$34:$B$39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'Projeto Valéria'!$C$34:$C$39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7-446F-B495-459A65C3B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pxhere.com/pt/photo/1456503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575236</xdr:colOff>
      <xdr:row>0</xdr:row>
      <xdr:rowOff>171823</xdr:rowOff>
    </xdr:from>
    <xdr:to>
      <xdr:col>2</xdr:col>
      <xdr:colOff>885145</xdr:colOff>
      <xdr:row>8</xdr:row>
      <xdr:rowOff>131930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C5EA2CE-E21D-3542-3D68-99D09D6F0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/>
        <a:stretch/>
      </xdr:blipFill>
      <xdr:spPr>
        <a:xfrm>
          <a:off x="1187824" y="171823"/>
          <a:ext cx="3925674" cy="1454225"/>
        </a:xfrm>
        <a:prstGeom prst="rect">
          <a:avLst/>
        </a:prstGeom>
      </xdr:spPr>
    </xdr:pic>
    <xdr:clientData/>
  </xdr:twoCellAnchor>
  <xdr:twoCellAnchor>
    <xdr:from>
      <xdr:col>1</xdr:col>
      <xdr:colOff>283883</xdr:colOff>
      <xdr:row>40</xdr:row>
      <xdr:rowOff>96370</xdr:rowOff>
    </xdr:from>
    <xdr:to>
      <xdr:col>3</xdr:col>
      <xdr:colOff>7471</xdr:colOff>
      <xdr:row>55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D89C22-B302-40FF-0BA7-9A9F38660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1688353</xdr:colOff>
      <xdr:row>5</xdr:row>
      <xdr:rowOff>149411</xdr:rowOff>
    </xdr:from>
    <xdr:to>
      <xdr:col>2</xdr:col>
      <xdr:colOff>279531</xdr:colOff>
      <xdr:row>8</xdr:row>
      <xdr:rowOff>137805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0B7CFAD-BE42-5A62-C147-4C0DE1B1D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0941" y="1083235"/>
          <a:ext cx="2206943" cy="548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E03C-2398-4865-863E-70E98787618B}">
  <dimension ref="A10:H63"/>
  <sheetViews>
    <sheetView showGridLines="0" showRowColHeaders="0" tabSelected="1" topLeftCell="A30" zoomScale="85" zoomScaleNormal="85" workbookViewId="0">
      <selection activeCell="D8" sqref="D8"/>
    </sheetView>
  </sheetViews>
  <sheetFormatPr defaultColWidth="0" defaultRowHeight="14.5" x14ac:dyDescent="0.35"/>
  <cols>
    <col min="1" max="1" width="8.7265625" customWidth="1"/>
    <col min="2" max="2" width="51.7265625" customWidth="1"/>
    <col min="3" max="3" width="17.6328125" bestFit="1" customWidth="1"/>
    <col min="4" max="4" width="12.1796875" bestFit="1" customWidth="1"/>
    <col min="5" max="5" width="3.90625" customWidth="1"/>
    <col min="6" max="6" width="3.453125" customWidth="1"/>
    <col min="7" max="7" width="2.36328125" customWidth="1"/>
    <col min="9" max="16384" width="8.7265625" hidden="1"/>
  </cols>
  <sheetData>
    <row r="10" spans="2:4" ht="15" thickBot="1" x14ac:dyDescent="0.4"/>
    <row r="11" spans="2:4" ht="23.5" x14ac:dyDescent="0.35">
      <c r="B11" s="3" t="s">
        <v>15</v>
      </c>
      <c r="C11" s="4"/>
      <c r="D11" s="5"/>
    </row>
    <row r="12" spans="2:4" ht="16" x14ac:dyDescent="0.4">
      <c r="B12" s="22" t="s">
        <v>14</v>
      </c>
      <c r="C12" s="23"/>
      <c r="D12" s="6">
        <v>5000</v>
      </c>
    </row>
    <row r="13" spans="2:4" ht="16" x14ac:dyDescent="0.4">
      <c r="B13" s="22" t="s">
        <v>13</v>
      </c>
      <c r="C13" s="23"/>
      <c r="D13" s="7">
        <v>6.0000000000000001E-3</v>
      </c>
    </row>
    <row r="14" spans="2:4" ht="16.5" thickBot="1" x14ac:dyDescent="0.45">
      <c r="B14" s="24" t="s">
        <v>34</v>
      </c>
      <c r="C14" s="25"/>
      <c r="D14" s="8">
        <f>D12*30%</f>
        <v>1500</v>
      </c>
    </row>
    <row r="15" spans="2:4" ht="15" thickBot="1" x14ac:dyDescent="0.4"/>
    <row r="16" spans="2:4" ht="26" x14ac:dyDescent="0.35">
      <c r="B16" s="9" t="s">
        <v>5</v>
      </c>
      <c r="C16" s="10"/>
      <c r="D16" s="11"/>
    </row>
    <row r="17" spans="1:4" ht="16" x14ac:dyDescent="0.4">
      <c r="B17" s="26" t="s">
        <v>0</v>
      </c>
      <c r="C17" s="27"/>
      <c r="D17" s="12">
        <v>750</v>
      </c>
    </row>
    <row r="18" spans="1:4" ht="16" x14ac:dyDescent="0.4">
      <c r="B18" s="26" t="s">
        <v>1</v>
      </c>
      <c r="C18" s="27"/>
      <c r="D18" s="13">
        <v>5</v>
      </c>
    </row>
    <row r="19" spans="1:4" ht="16" x14ac:dyDescent="0.4">
      <c r="B19" s="26" t="s">
        <v>2</v>
      </c>
      <c r="C19" s="27"/>
      <c r="D19" s="14">
        <v>1.0800000000000001E-2</v>
      </c>
    </row>
    <row r="20" spans="1:4" ht="16" x14ac:dyDescent="0.4">
      <c r="B20" s="28" t="s">
        <v>3</v>
      </c>
      <c r="C20" s="29"/>
      <c r="D20" s="15">
        <f>FV(taxa_mensal,qtd_anos*12,aporte*-1)</f>
        <v>62853.014519443823</v>
      </c>
    </row>
    <row r="21" spans="1:4" ht="16.5" thickBot="1" x14ac:dyDescent="0.45">
      <c r="B21" s="30" t="s">
        <v>4</v>
      </c>
      <c r="C21" s="31"/>
      <c r="D21" s="16">
        <f>patrimonio*rendimento_carteira</f>
        <v>377.11808711666293</v>
      </c>
    </row>
    <row r="22" spans="1:4" ht="15" thickBot="1" x14ac:dyDescent="0.4"/>
    <row r="23" spans="1:4" ht="26" x14ac:dyDescent="0.35">
      <c r="B23" s="9" t="s">
        <v>11</v>
      </c>
      <c r="C23" s="10"/>
      <c r="D23" s="17" t="s">
        <v>12</v>
      </c>
    </row>
    <row r="24" spans="1:4" ht="16" x14ac:dyDescent="0.4">
      <c r="A24" s="1">
        <v>2</v>
      </c>
      <c r="B24" s="32" t="s">
        <v>6</v>
      </c>
      <c r="C24" s="18">
        <f>FV($D$19,A$24*12,$D$17*-1)</f>
        <v>20423.147745436192</v>
      </c>
      <c r="D24" s="19">
        <f>C24*rendimento_carteira</f>
        <v>122.53888647261715</v>
      </c>
    </row>
    <row r="25" spans="1:4" ht="16" x14ac:dyDescent="0.4">
      <c r="A25" s="1">
        <v>5</v>
      </c>
      <c r="B25" s="32" t="s">
        <v>7</v>
      </c>
      <c r="C25" s="18">
        <f>FV($D$19,A$25*12,$D$17*-1)</f>
        <v>62853.014519443823</v>
      </c>
      <c r="D25" s="19">
        <f>C25*rendimento_carteira</f>
        <v>377.11808711666293</v>
      </c>
    </row>
    <row r="26" spans="1:4" ht="16" x14ac:dyDescent="0.4">
      <c r="A26" s="1">
        <v>10</v>
      </c>
      <c r="B26" s="32" t="s">
        <v>8</v>
      </c>
      <c r="C26" s="18">
        <f>FV($D$19,A$26*12,$D$17*-1)</f>
        <v>182593.24969110006</v>
      </c>
      <c r="D26" s="19">
        <f>C26*rendimento_carteira</f>
        <v>1095.5594981466004</v>
      </c>
    </row>
    <row r="27" spans="1:4" ht="16" x14ac:dyDescent="0.4">
      <c r="A27" s="1">
        <v>20</v>
      </c>
      <c r="B27" s="32" t="s">
        <v>9</v>
      </c>
      <c r="C27" s="18">
        <f>FV($D$19,A$27*12,$D$17*-1)</f>
        <v>845286.74497389246</v>
      </c>
      <c r="D27" s="19">
        <f>C27*rendimento_carteira</f>
        <v>5071.7204698433552</v>
      </c>
    </row>
    <row r="28" spans="1:4" ht="16.5" thickBot="1" x14ac:dyDescent="0.45">
      <c r="A28" s="1">
        <v>30</v>
      </c>
      <c r="B28" s="33" t="s">
        <v>10</v>
      </c>
      <c r="C28" s="20">
        <f>FV($D$19,A$28*12,$D$17*-1)</f>
        <v>3250428.6077375636</v>
      </c>
      <c r="D28" s="21">
        <f>C28*rendimento_carteira</f>
        <v>19502.571646425382</v>
      </c>
    </row>
    <row r="30" spans="1:4" ht="15" thickBot="1" x14ac:dyDescent="0.4"/>
    <row r="31" spans="1:4" x14ac:dyDescent="0.35">
      <c r="B31" s="42" t="s">
        <v>17</v>
      </c>
      <c r="C31" s="43" t="s">
        <v>31</v>
      </c>
      <c r="D31" s="44"/>
    </row>
    <row r="32" spans="1:4" x14ac:dyDescent="0.35">
      <c r="B32" s="45" t="s">
        <v>16</v>
      </c>
      <c r="C32" s="46">
        <f>aporte</f>
        <v>750</v>
      </c>
      <c r="D32" s="47"/>
    </row>
    <row r="33" spans="2:4" x14ac:dyDescent="0.35">
      <c r="B33" s="48" t="s">
        <v>18</v>
      </c>
      <c r="C33" s="49" t="s">
        <v>19</v>
      </c>
      <c r="D33" s="50" t="s">
        <v>20</v>
      </c>
    </row>
    <row r="34" spans="2:4" x14ac:dyDescent="0.35">
      <c r="B34" s="51" t="s">
        <v>21</v>
      </c>
      <c r="C34" s="52">
        <f>VLOOKUP($C$31&amp;"-"&amp;B34,Planilha2!$A:$D,4,)</f>
        <v>0.32</v>
      </c>
      <c r="D34" s="53">
        <f>C34*$C$32</f>
        <v>240</v>
      </c>
    </row>
    <row r="35" spans="2:4" x14ac:dyDescent="0.35">
      <c r="B35" s="51" t="s">
        <v>22</v>
      </c>
      <c r="C35" s="52">
        <f>VLOOKUP($C$31&amp;"-"&amp;B35,Planilha2!$A:$D,4,)</f>
        <v>0.35</v>
      </c>
      <c r="D35" s="53">
        <f t="shared" ref="D35:D39" si="0">C35*$C$32</f>
        <v>262.5</v>
      </c>
    </row>
    <row r="36" spans="2:4" x14ac:dyDescent="0.35">
      <c r="B36" s="51" t="s">
        <v>23</v>
      </c>
      <c r="C36" s="52">
        <f>VLOOKUP($C$31&amp;"-"&amp;B36,Planilha2!$A:$D,4,)</f>
        <v>0.08</v>
      </c>
      <c r="D36" s="53">
        <f t="shared" si="0"/>
        <v>60</v>
      </c>
    </row>
    <row r="37" spans="2:4" x14ac:dyDescent="0.35">
      <c r="B37" s="51" t="s">
        <v>24</v>
      </c>
      <c r="C37" s="52">
        <f>VLOOKUP($C$31&amp;"-"&amp;B37,Planilha2!$A:$D,4,)</f>
        <v>0.05</v>
      </c>
      <c r="D37" s="53">
        <f t="shared" si="0"/>
        <v>37.5</v>
      </c>
    </row>
    <row r="38" spans="2:4" x14ac:dyDescent="0.35">
      <c r="B38" s="51" t="s">
        <v>25</v>
      </c>
      <c r="C38" s="52">
        <f>VLOOKUP($C$31&amp;"-"&amp;B38,Planilha2!$A:$D,4,)</f>
        <v>0.1</v>
      </c>
      <c r="D38" s="53">
        <f t="shared" si="0"/>
        <v>75</v>
      </c>
    </row>
    <row r="39" spans="2:4" x14ac:dyDescent="0.35">
      <c r="B39" s="51" t="s">
        <v>26</v>
      </c>
      <c r="C39" s="52">
        <f>VLOOKUP($C$31&amp;"-"&amp;B39,Planilha2!$A:$D,4,)</f>
        <v>0.1</v>
      </c>
      <c r="D39" s="53">
        <f t="shared" si="0"/>
        <v>75</v>
      </c>
    </row>
    <row r="40" spans="2:4" ht="15" thickBot="1" x14ac:dyDescent="0.4">
      <c r="B40" s="54"/>
      <c r="C40" s="55"/>
      <c r="D40" s="56">
        <f>SUM(D34:D39)</f>
        <v>750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</sheetData>
  <mergeCells count="11">
    <mergeCell ref="B12:C12"/>
    <mergeCell ref="B13:C13"/>
    <mergeCell ref="B14:C14"/>
    <mergeCell ref="B11:C11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1" xr:uid="{EF529F51-B150-42C9-8C3C-9B7D994768E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1F2F-B5D5-44F5-874F-8DAF22B47785}">
  <dimension ref="A1:J20"/>
  <sheetViews>
    <sheetView workbookViewId="0">
      <selection activeCell="E7" sqref="E7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</cols>
  <sheetData>
    <row r="1" spans="1:10" x14ac:dyDescent="0.35">
      <c r="A1" t="s">
        <v>30</v>
      </c>
      <c r="B1" s="37" t="s">
        <v>17</v>
      </c>
      <c r="C1" s="36" t="s">
        <v>28</v>
      </c>
      <c r="D1" s="37" t="s">
        <v>29</v>
      </c>
    </row>
    <row r="2" spans="1:10" x14ac:dyDescent="0.35">
      <c r="A2" t="str">
        <f>B2&amp;"-"&amp;C2</f>
        <v>Conservador-PAPEL</v>
      </c>
      <c r="B2" t="s">
        <v>27</v>
      </c>
      <c r="C2" s="2" t="s">
        <v>21</v>
      </c>
      <c r="D2" s="35">
        <v>0.3</v>
      </c>
    </row>
    <row r="3" spans="1:10" x14ac:dyDescent="0.35">
      <c r="A3" t="str">
        <f t="shared" ref="A3:A19" si="0">B3&amp;"-"&amp;C3</f>
        <v>Conservador-TIJOLOS</v>
      </c>
      <c r="B3" t="s">
        <v>27</v>
      </c>
      <c r="C3" s="2" t="s">
        <v>22</v>
      </c>
      <c r="D3" s="35">
        <v>0.5</v>
      </c>
      <c r="J3" t="s">
        <v>29</v>
      </c>
    </row>
    <row r="4" spans="1:10" x14ac:dyDescent="0.35">
      <c r="A4" t="str">
        <f t="shared" si="0"/>
        <v>Conservador-HIBRIDOS</v>
      </c>
      <c r="B4" t="s">
        <v>27</v>
      </c>
      <c r="C4" s="2" t="s">
        <v>23</v>
      </c>
      <c r="D4" s="35">
        <v>0.1</v>
      </c>
      <c r="H4" s="34" t="s">
        <v>33</v>
      </c>
      <c r="I4" s="34"/>
      <c r="J4" s="41">
        <f>VLOOKUP(H4,$A:$D,4,)</f>
        <v>0.35</v>
      </c>
    </row>
    <row r="5" spans="1:10" x14ac:dyDescent="0.35">
      <c r="A5" t="str">
        <f t="shared" si="0"/>
        <v>Conservador-FOFs</v>
      </c>
      <c r="B5" t="s">
        <v>27</v>
      </c>
      <c r="C5" s="2" t="s">
        <v>24</v>
      </c>
      <c r="D5" s="35">
        <v>0.1</v>
      </c>
    </row>
    <row r="6" spans="1:10" x14ac:dyDescent="0.35">
      <c r="A6" t="str">
        <f t="shared" si="0"/>
        <v>Conservador-DESENVOLVIMENTO</v>
      </c>
      <c r="B6" t="s">
        <v>27</v>
      </c>
      <c r="C6" s="2" t="s">
        <v>25</v>
      </c>
      <c r="D6" s="35">
        <v>0</v>
      </c>
    </row>
    <row r="7" spans="1:10" ht="15" thickBot="1" x14ac:dyDescent="0.4">
      <c r="A7" s="38" t="str">
        <f t="shared" si="0"/>
        <v>Conservador-HOTELARIAS</v>
      </c>
      <c r="B7" s="38" t="s">
        <v>27</v>
      </c>
      <c r="C7" s="39" t="s">
        <v>26</v>
      </c>
      <c r="D7" s="40">
        <v>0</v>
      </c>
    </row>
    <row r="8" spans="1:10" x14ac:dyDescent="0.35">
      <c r="A8" t="str">
        <f t="shared" si="0"/>
        <v>Moderado-PAPEL</v>
      </c>
      <c r="B8" t="s">
        <v>31</v>
      </c>
      <c r="C8" s="2" t="s">
        <v>21</v>
      </c>
      <c r="D8" s="35">
        <v>0.32</v>
      </c>
    </row>
    <row r="9" spans="1:10" x14ac:dyDescent="0.35">
      <c r="A9" t="str">
        <f t="shared" si="0"/>
        <v>Moderado-TIJOLOS</v>
      </c>
      <c r="B9" t="s">
        <v>31</v>
      </c>
      <c r="C9" s="2" t="s">
        <v>22</v>
      </c>
      <c r="D9" s="35">
        <v>0.35</v>
      </c>
    </row>
    <row r="10" spans="1:10" x14ac:dyDescent="0.35">
      <c r="A10" t="str">
        <f t="shared" si="0"/>
        <v>Moderado-HIBRIDOS</v>
      </c>
      <c r="B10" t="s">
        <v>31</v>
      </c>
      <c r="C10" s="2" t="s">
        <v>23</v>
      </c>
      <c r="D10" s="35">
        <v>0.08</v>
      </c>
    </row>
    <row r="11" spans="1:10" x14ac:dyDescent="0.35">
      <c r="A11" t="str">
        <f t="shared" si="0"/>
        <v>Moderado-FOFs</v>
      </c>
      <c r="B11" t="s">
        <v>31</v>
      </c>
      <c r="C11" s="2" t="s">
        <v>24</v>
      </c>
      <c r="D11" s="35">
        <v>0.05</v>
      </c>
    </row>
    <row r="12" spans="1:10" x14ac:dyDescent="0.35">
      <c r="A12" t="str">
        <f t="shared" si="0"/>
        <v>Moderado-DESENVOLVIMENTO</v>
      </c>
      <c r="B12" t="s">
        <v>31</v>
      </c>
      <c r="C12" s="2" t="s">
        <v>25</v>
      </c>
      <c r="D12" s="35">
        <v>0.1</v>
      </c>
    </row>
    <row r="13" spans="1:10" ht="15" thickBot="1" x14ac:dyDescent="0.4">
      <c r="A13" s="38" t="str">
        <f t="shared" si="0"/>
        <v>Moderado-HOTELARIAS</v>
      </c>
      <c r="B13" s="38" t="s">
        <v>31</v>
      </c>
      <c r="C13" s="39" t="s">
        <v>26</v>
      </c>
      <c r="D13" s="40">
        <v>0.1</v>
      </c>
    </row>
    <row r="14" spans="1:10" x14ac:dyDescent="0.35">
      <c r="A14" t="str">
        <f t="shared" si="0"/>
        <v>Agressivo-PAPEL</v>
      </c>
      <c r="B14" t="s">
        <v>32</v>
      </c>
      <c r="C14" s="2" t="s">
        <v>21</v>
      </c>
      <c r="D14" s="35">
        <v>0.5</v>
      </c>
    </row>
    <row r="15" spans="1:10" x14ac:dyDescent="0.35">
      <c r="A15" t="str">
        <f t="shared" si="0"/>
        <v>Agressivo-TIJOLOS</v>
      </c>
      <c r="B15" t="s">
        <v>32</v>
      </c>
      <c r="C15" s="2" t="s">
        <v>22</v>
      </c>
      <c r="D15" s="35">
        <v>0.1</v>
      </c>
    </row>
    <row r="16" spans="1:10" x14ac:dyDescent="0.35">
      <c r="A16" t="str">
        <f t="shared" si="0"/>
        <v>Agressivo-HIBRIDOS</v>
      </c>
      <c r="B16" t="s">
        <v>32</v>
      </c>
      <c r="C16" s="2" t="s">
        <v>23</v>
      </c>
      <c r="D16" s="35">
        <v>0.05</v>
      </c>
    </row>
    <row r="17" spans="1:4" x14ac:dyDescent="0.35">
      <c r="A17" t="str">
        <f t="shared" si="0"/>
        <v>Agressivo-FOFs</v>
      </c>
      <c r="B17" t="s">
        <v>32</v>
      </c>
      <c r="C17" s="2" t="s">
        <v>24</v>
      </c>
      <c r="D17" s="35">
        <v>0.05</v>
      </c>
    </row>
    <row r="18" spans="1:4" x14ac:dyDescent="0.35">
      <c r="A18" t="str">
        <f t="shared" si="0"/>
        <v>Agressivo-DESENVOLVIMENTO</v>
      </c>
      <c r="B18" t="s">
        <v>32</v>
      </c>
      <c r="C18" s="2" t="s">
        <v>25</v>
      </c>
      <c r="D18" s="35">
        <v>0.2</v>
      </c>
    </row>
    <row r="19" spans="1:4" ht="15" thickBot="1" x14ac:dyDescent="0.4">
      <c r="A19" t="str">
        <f t="shared" si="0"/>
        <v>Agressivo-HOTELARIAS</v>
      </c>
      <c r="B19" t="s">
        <v>32</v>
      </c>
      <c r="C19" s="39" t="s">
        <v>26</v>
      </c>
      <c r="D19" s="35">
        <v>0.1</v>
      </c>
    </row>
    <row r="20" spans="1:4" x14ac:dyDescent="0.35">
      <c r="C20" s="2"/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Projeto Valéria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>Telefonica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Cristina Jeronimo Da Silva</dc:creator>
  <cp:lastModifiedBy>Valeria Cristina Jeronimo Da Silva</cp:lastModifiedBy>
  <dcterms:created xsi:type="dcterms:W3CDTF">2026-05-25T06:04:31Z</dcterms:created>
  <dcterms:modified xsi:type="dcterms:W3CDTF">2026-05-27T14:31:46Z</dcterms:modified>
</cp:coreProperties>
</file>